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E40B7108A2CF8D/Documents/"/>
    </mc:Choice>
  </mc:AlternateContent>
  <xr:revisionPtr revIDLastSave="118" documentId="8_{A222FCC4-1B7D-4CF2-B86B-016F6E9FEC2C}" xr6:coauthVersionLast="47" xr6:coauthVersionMax="47" xr10:uidLastSave="{BB2C2B61-D961-49E0-8DA0-EC0F06C6897E}"/>
  <bookViews>
    <workbookView xWindow="-108" yWindow="-108" windowWidth="23256" windowHeight="13896" xr2:uid="{E4BAEDE7-5AA6-4719-86C9-753886396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1" l="1"/>
  <c r="S10" i="1"/>
  <c r="Q10" i="1"/>
  <c r="L10" i="1"/>
  <c r="I10" i="1"/>
  <c r="S8" i="1"/>
  <c r="T8" i="1" s="1"/>
  <c r="S7" i="1"/>
  <c r="T7" i="1" s="1"/>
  <c r="Q7" i="1"/>
  <c r="Q8" i="1"/>
  <c r="Q9" i="1"/>
  <c r="S9" i="1" l="1"/>
  <c r="T9" i="1" s="1"/>
  <c r="T23" i="1" s="1"/>
</calcChain>
</file>

<file path=xl/sharedStrings.xml><?xml version="1.0" encoding="utf-8"?>
<sst xmlns="http://schemas.openxmlformats.org/spreadsheetml/2006/main" count="62" uniqueCount="39">
  <si>
    <t>Task</t>
  </si>
  <si>
    <t>Description</t>
  </si>
  <si>
    <t>Status</t>
  </si>
  <si>
    <t>Planned Start Date</t>
  </si>
  <si>
    <t>Actual Start  Date</t>
  </si>
  <si>
    <t>End Date</t>
  </si>
  <si>
    <t>Hour</t>
  </si>
  <si>
    <t>labor</t>
  </si>
  <si>
    <t>$/Hour</t>
  </si>
  <si>
    <t>labor Total</t>
  </si>
  <si>
    <t>Unit</t>
  </si>
  <si>
    <t>Material</t>
  </si>
  <si>
    <t>$/unit</t>
  </si>
  <si>
    <t>Material Total</t>
  </si>
  <si>
    <t>Other</t>
  </si>
  <si>
    <t>Travel</t>
  </si>
  <si>
    <t>Equipment</t>
  </si>
  <si>
    <t>Fixed</t>
  </si>
  <si>
    <t>Msc</t>
  </si>
  <si>
    <t>Other Total</t>
  </si>
  <si>
    <t>Budget</t>
  </si>
  <si>
    <t>Actual</t>
  </si>
  <si>
    <t>Under/over</t>
  </si>
  <si>
    <t>Project</t>
  </si>
  <si>
    <t>Sub-Task</t>
  </si>
  <si>
    <t>Status Key</t>
  </si>
  <si>
    <t>Not Started</t>
  </si>
  <si>
    <t>In Progress</t>
  </si>
  <si>
    <t>Complete</t>
  </si>
  <si>
    <t>On Hold</t>
  </si>
  <si>
    <t>Over due</t>
  </si>
  <si>
    <t>$       40.00</t>
  </si>
  <si>
    <t>$        50.00</t>
  </si>
  <si>
    <t>$     5.00</t>
  </si>
  <si>
    <t>$    10.00</t>
  </si>
  <si>
    <t>$   15.00</t>
  </si>
  <si>
    <t>$     10.00</t>
  </si>
  <si>
    <t>$   4500.00</t>
  </si>
  <si>
    <t>BUDGET 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</si>
</sst>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4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indent="3"/>
    </xf>
    <xf numFmtId="0" fontId="1" fillId="0" borderId="1" xfId="0" applyFont="1" applyBorder="1"/>
    <xf numFmtId="0" fontId="0" fillId="3" borderId="0" xfId="0" applyFill="1" applyAlignment="1">
      <alignment horizontal="left" indent="3"/>
    </xf>
    <xf numFmtId="0" fontId="0" fillId="2" borderId="1" xfId="0" applyFill="1" applyBorder="1"/>
    <xf numFmtId="0" fontId="0" fillId="0" borderId="2" xfId="0" applyBorder="1"/>
    <xf numFmtId="0" fontId="0" fillId="4" borderId="2" xfId="0" applyFill="1" applyBorder="1"/>
    <xf numFmtId="0" fontId="0" fillId="4" borderId="2" xfId="0" applyFill="1" applyBorder="1" applyAlignment="1">
      <alignment horizontal="left" indent="2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64" fontId="0" fillId="0" borderId="0" xfId="0" applyNumberFormat="1" applyAlignment="1">
      <alignment horizontal="left" indent="3"/>
    </xf>
    <xf numFmtId="164" fontId="0" fillId="0" borderId="0" xfId="0" applyNumberFormat="1"/>
    <xf numFmtId="164" fontId="0" fillId="2" borderId="1" xfId="0" applyNumberFormat="1" applyFill="1" applyBorder="1"/>
    <xf numFmtId="164" fontId="0" fillId="4" borderId="2" xfId="0" applyNumberFormat="1" applyFill="1" applyBorder="1"/>
    <xf numFmtId="164" fontId="0" fillId="0" borderId="2" xfId="0" applyNumberFormat="1" applyBorder="1"/>
    <xf numFmtId="164" fontId="2" fillId="4" borderId="2" xfId="0" applyNumberFormat="1" applyFont="1" applyFill="1" applyBorder="1"/>
    <xf numFmtId="0" fontId="2" fillId="3" borderId="0" xfId="0" applyFont="1" applyFill="1" applyAlignment="1">
      <alignment horizontal="left" indent="3"/>
    </xf>
    <xf numFmtId="164" fontId="2" fillId="3" borderId="0" xfId="0" applyNumberFormat="1" applyFont="1" applyFill="1" applyAlignment="1">
      <alignment horizontal="left" indent="3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3" fillId="0" borderId="0" xfId="0" applyFont="1" applyAlignment="1">
      <alignment horizontal="left" indent="3"/>
    </xf>
  </cellXfs>
  <cellStyles count="1">
    <cellStyle name="Normal" xfId="0" builtinId="0"/>
  </cellStyles>
  <dxfs count="12"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8268-0A0D-4501-A4A6-C29F36583FAF}">
  <dimension ref="A1:U31"/>
  <sheetViews>
    <sheetView tabSelected="1" zoomScale="75" zoomScaleNormal="75" workbookViewId="0">
      <selection activeCell="R11" sqref="R11"/>
    </sheetView>
  </sheetViews>
  <sheetFormatPr defaultRowHeight="14.4" x14ac:dyDescent="0.3"/>
  <cols>
    <col min="1" max="1" width="20.6640625" customWidth="1"/>
    <col min="2" max="2" width="15.5546875" customWidth="1"/>
    <col min="3" max="3" width="10.5546875" customWidth="1"/>
    <col min="4" max="4" width="16.44140625" customWidth="1"/>
    <col min="5" max="5" width="19.88671875" customWidth="1"/>
    <col min="6" max="6" width="11.5546875" customWidth="1"/>
    <col min="8" max="8" width="10.109375" style="16" customWidth="1"/>
    <col min="9" max="9" width="11.5546875" style="16" bestFit="1" customWidth="1"/>
    <col min="11" max="11" width="8.88671875" style="16"/>
    <col min="12" max="12" width="10.77734375" style="16" customWidth="1"/>
    <col min="13" max="13" width="8.88671875" style="16"/>
    <col min="14" max="14" width="14.109375" style="16" customWidth="1"/>
    <col min="15" max="16" width="8.88671875" style="16"/>
    <col min="17" max="17" width="13.33203125" customWidth="1"/>
    <col min="18" max="18" width="9.44140625" style="16" bestFit="1" customWidth="1"/>
    <col min="19" max="19" width="9.44140625" bestFit="1" customWidth="1"/>
    <col min="20" max="21" width="15.77734375" customWidth="1"/>
  </cols>
  <sheetData>
    <row r="1" spans="1:21" s="1" customFormat="1" ht="26.85" customHeight="1" x14ac:dyDescent="0.55000000000000004">
      <c r="B1" s="25" t="s">
        <v>38</v>
      </c>
      <c r="H1" s="15"/>
      <c r="I1" s="15"/>
      <c r="K1" s="15"/>
      <c r="L1" s="15"/>
      <c r="M1" s="15"/>
      <c r="N1" s="15"/>
      <c r="O1" s="15"/>
      <c r="P1" s="15"/>
      <c r="R1" s="15"/>
    </row>
    <row r="2" spans="1:21" ht="25.8" x14ac:dyDescent="0.5">
      <c r="C2" s="2"/>
    </row>
    <row r="4" spans="1:21" s="4" customFormat="1" x14ac:dyDescent="0.3">
      <c r="G4" s="23" t="s">
        <v>7</v>
      </c>
      <c r="H4" s="17"/>
      <c r="I4" s="17"/>
      <c r="J4" s="23" t="s">
        <v>11</v>
      </c>
      <c r="K4" s="17"/>
      <c r="L4" s="17"/>
      <c r="M4" s="24" t="s">
        <v>14</v>
      </c>
      <c r="N4" s="17"/>
      <c r="O4" s="17"/>
      <c r="P4" s="17"/>
      <c r="R4" s="17"/>
    </row>
    <row r="5" spans="1:21" s="3" customFormat="1" x14ac:dyDescent="0.3">
      <c r="A5" s="21" t="s">
        <v>0</v>
      </c>
      <c r="B5" s="21" t="s">
        <v>1</v>
      </c>
      <c r="C5" s="21" t="s">
        <v>2</v>
      </c>
      <c r="D5" s="21" t="s">
        <v>3</v>
      </c>
      <c r="E5" s="21" t="s">
        <v>4</v>
      </c>
      <c r="F5" s="21" t="s">
        <v>5</v>
      </c>
      <c r="G5" s="21" t="s">
        <v>6</v>
      </c>
      <c r="H5" s="22" t="s">
        <v>8</v>
      </c>
      <c r="I5" s="22" t="s">
        <v>9</v>
      </c>
      <c r="J5" s="21" t="s">
        <v>10</v>
      </c>
      <c r="K5" s="22" t="s">
        <v>12</v>
      </c>
      <c r="L5" s="22" t="s">
        <v>13</v>
      </c>
      <c r="M5" s="22" t="s">
        <v>15</v>
      </c>
      <c r="N5" s="22" t="s">
        <v>16</v>
      </c>
      <c r="O5" s="22" t="s">
        <v>17</v>
      </c>
      <c r="P5" s="22" t="s">
        <v>18</v>
      </c>
      <c r="Q5" s="21" t="s">
        <v>19</v>
      </c>
      <c r="R5" s="22" t="s">
        <v>20</v>
      </c>
      <c r="S5" s="21" t="s">
        <v>21</v>
      </c>
      <c r="T5" s="3" t="s">
        <v>22</v>
      </c>
    </row>
    <row r="6" spans="1:21" s="8" customFormat="1" x14ac:dyDescent="0.3">
      <c r="A6" s="6"/>
      <c r="B6" s="7" t="s">
        <v>23</v>
      </c>
      <c r="C6" s="6"/>
      <c r="D6" s="6"/>
      <c r="E6" s="6"/>
      <c r="F6" s="6"/>
      <c r="G6" s="6"/>
      <c r="H6" s="18"/>
      <c r="I6" s="18"/>
      <c r="J6" s="6"/>
      <c r="K6" s="18"/>
      <c r="L6" s="18"/>
      <c r="M6" s="18"/>
      <c r="N6" s="18"/>
      <c r="O6" s="18"/>
      <c r="P6" s="18"/>
      <c r="Q6" s="6"/>
      <c r="R6" s="18"/>
      <c r="S6" s="6"/>
      <c r="T6" s="6"/>
      <c r="U6" s="6"/>
    </row>
    <row r="7" spans="1:21" x14ac:dyDescent="0.3">
      <c r="A7" s="5"/>
      <c r="B7" s="5" t="s">
        <v>0</v>
      </c>
      <c r="C7" s="5" t="s">
        <v>28</v>
      </c>
      <c r="D7" s="5"/>
      <c r="E7" s="5"/>
      <c r="F7" s="5"/>
      <c r="G7" s="5">
        <v>35</v>
      </c>
      <c r="H7" s="19" t="s">
        <v>31</v>
      </c>
      <c r="I7" s="19">
        <v>1400</v>
      </c>
      <c r="J7" s="5">
        <v>25</v>
      </c>
      <c r="K7" s="19" t="s">
        <v>33</v>
      </c>
      <c r="L7" s="19">
        <v>100</v>
      </c>
      <c r="M7" s="19">
        <v>250</v>
      </c>
      <c r="N7" s="19">
        <v>890</v>
      </c>
      <c r="O7" s="19">
        <v>55</v>
      </c>
      <c r="P7" s="19">
        <v>50</v>
      </c>
      <c r="Q7" s="19">
        <f>SUM(M7:P7)</f>
        <v>1245</v>
      </c>
      <c r="R7" s="19">
        <v>600</v>
      </c>
      <c r="S7" s="19">
        <f>SUM(I7,L7,Q7)</f>
        <v>2745</v>
      </c>
      <c r="T7" s="19">
        <f>S7-R7</f>
        <v>2145</v>
      </c>
      <c r="U7" s="5"/>
    </row>
    <row r="8" spans="1:21" x14ac:dyDescent="0.3">
      <c r="A8" s="5"/>
      <c r="B8" s="5" t="s">
        <v>0</v>
      </c>
      <c r="C8" s="5" t="s">
        <v>27</v>
      </c>
      <c r="D8" s="5"/>
      <c r="E8" s="5"/>
      <c r="F8" s="5"/>
      <c r="G8" s="5">
        <v>10</v>
      </c>
      <c r="H8" s="19" t="s">
        <v>32</v>
      </c>
      <c r="I8" s="19">
        <v>500</v>
      </c>
      <c r="J8" s="5">
        <v>1</v>
      </c>
      <c r="K8" s="19" t="s">
        <v>34</v>
      </c>
      <c r="L8" s="19" t="s">
        <v>36</v>
      </c>
      <c r="M8" s="19">
        <v>350</v>
      </c>
      <c r="N8" s="19">
        <v>45</v>
      </c>
      <c r="O8" s="19">
        <v>450</v>
      </c>
      <c r="P8" s="19">
        <v>20</v>
      </c>
      <c r="Q8" s="19">
        <f t="shared" ref="Q8:Q9" si="0">SUM(M8:P8)</f>
        <v>865</v>
      </c>
      <c r="R8" s="19">
        <v>4000</v>
      </c>
      <c r="S8" s="19">
        <f>SUM(I8,L8,Q8)</f>
        <v>1365</v>
      </c>
      <c r="T8" s="19">
        <f t="shared" ref="T8:T9" si="1">S8-R8</f>
        <v>-2635</v>
      </c>
      <c r="U8" s="5"/>
    </row>
    <row r="9" spans="1:21" x14ac:dyDescent="0.3">
      <c r="A9" s="5"/>
      <c r="B9" s="5" t="s">
        <v>0</v>
      </c>
      <c r="C9" s="5" t="s">
        <v>27</v>
      </c>
      <c r="D9" s="5"/>
      <c r="E9" s="5"/>
      <c r="F9" s="5"/>
      <c r="G9" s="5">
        <v>15</v>
      </c>
      <c r="H9" s="19">
        <v>25</v>
      </c>
      <c r="I9" s="19">
        <v>375</v>
      </c>
      <c r="J9" s="5">
        <v>300</v>
      </c>
      <c r="K9" s="19" t="s">
        <v>35</v>
      </c>
      <c r="L9" s="19" t="s">
        <v>37</v>
      </c>
      <c r="M9" s="19">
        <v>540</v>
      </c>
      <c r="N9" s="19">
        <v>600</v>
      </c>
      <c r="O9" s="19">
        <v>400</v>
      </c>
      <c r="P9" s="19">
        <v>30</v>
      </c>
      <c r="Q9" s="19">
        <f t="shared" si="0"/>
        <v>1570</v>
      </c>
      <c r="R9" s="19">
        <v>3000</v>
      </c>
      <c r="S9" s="19">
        <f>SUM(I9,L9,Q9)</f>
        <v>1945</v>
      </c>
      <c r="T9" s="19">
        <f t="shared" si="1"/>
        <v>-1055</v>
      </c>
      <c r="U9" s="5"/>
    </row>
    <row r="10" spans="1:21" x14ac:dyDescent="0.3">
      <c r="A10" s="5"/>
      <c r="B10" s="5" t="s">
        <v>0</v>
      </c>
      <c r="C10" s="5" t="s">
        <v>27</v>
      </c>
      <c r="D10" s="5"/>
      <c r="E10" s="5"/>
      <c r="F10" s="5"/>
      <c r="G10" s="5">
        <v>30</v>
      </c>
      <c r="H10" s="19">
        <v>60</v>
      </c>
      <c r="I10" s="19">
        <f>IFERROR(G10*H10,"")</f>
        <v>1800</v>
      </c>
      <c r="J10" s="5">
        <v>56</v>
      </c>
      <c r="K10" s="19">
        <v>20</v>
      </c>
      <c r="L10" s="19">
        <f>IFERROR(J10*K10,"")</f>
        <v>1120</v>
      </c>
      <c r="M10" s="19">
        <v>45</v>
      </c>
      <c r="N10" s="19">
        <v>61</v>
      </c>
      <c r="O10" s="19">
        <v>80</v>
      </c>
      <c r="P10" s="19">
        <v>50</v>
      </c>
      <c r="Q10" s="19">
        <f>M10+N10+O10+P10</f>
        <v>236</v>
      </c>
      <c r="R10" s="19">
        <v>6000</v>
      </c>
      <c r="S10" s="19">
        <f>I10+L10+Q10</f>
        <v>3156</v>
      </c>
      <c r="T10" s="19">
        <f>R10-S10</f>
        <v>2844</v>
      </c>
      <c r="U10" s="5"/>
    </row>
    <row r="11" spans="1:21" x14ac:dyDescent="0.3">
      <c r="A11" s="5"/>
      <c r="B11" s="5" t="s">
        <v>0</v>
      </c>
      <c r="C11" s="5" t="s">
        <v>29</v>
      </c>
      <c r="D11" s="5"/>
      <c r="E11" s="5"/>
      <c r="F11" s="5"/>
      <c r="G11" s="5"/>
      <c r="H11" s="19"/>
      <c r="I11" s="19"/>
      <c r="J11" s="5"/>
      <c r="K11" s="19"/>
      <c r="L11" s="19"/>
      <c r="M11" s="19"/>
      <c r="N11" s="19"/>
      <c r="O11" s="19"/>
      <c r="P11" s="19"/>
      <c r="Q11" s="5"/>
      <c r="R11" s="19"/>
      <c r="S11" s="5"/>
      <c r="T11" s="5"/>
      <c r="U11" s="5"/>
    </row>
    <row r="12" spans="1:21" x14ac:dyDescent="0.3">
      <c r="A12" s="5"/>
      <c r="B12" s="5" t="s">
        <v>24</v>
      </c>
      <c r="C12" s="5" t="s">
        <v>27</v>
      </c>
      <c r="D12" s="5"/>
      <c r="E12" s="5"/>
      <c r="F12" s="5"/>
      <c r="G12" s="5"/>
      <c r="H12" s="19"/>
      <c r="I12" s="19"/>
      <c r="J12" s="5"/>
      <c r="K12" s="19"/>
      <c r="L12" s="19"/>
      <c r="M12" s="19"/>
      <c r="N12" s="19"/>
      <c r="O12" s="19"/>
      <c r="P12" s="19"/>
      <c r="Q12" s="5"/>
      <c r="R12" s="19"/>
      <c r="S12" s="5"/>
      <c r="T12" s="5"/>
      <c r="U12" s="5"/>
    </row>
    <row r="13" spans="1:21" x14ac:dyDescent="0.3">
      <c r="A13" s="5"/>
      <c r="B13" s="5" t="s">
        <v>24</v>
      </c>
      <c r="C13" s="5" t="s">
        <v>28</v>
      </c>
      <c r="D13" s="5"/>
      <c r="E13" s="5"/>
      <c r="F13" s="5"/>
      <c r="G13" s="5"/>
      <c r="H13" s="19"/>
      <c r="I13" s="19"/>
      <c r="J13" s="5"/>
      <c r="K13" s="19"/>
      <c r="L13" s="19"/>
      <c r="M13" s="19"/>
      <c r="N13" s="19"/>
      <c r="O13" s="19"/>
      <c r="P13" s="19"/>
      <c r="Q13" s="5"/>
      <c r="R13" s="19"/>
      <c r="S13" s="5"/>
      <c r="T13" s="5"/>
      <c r="U13" s="5"/>
    </row>
    <row r="14" spans="1:21" x14ac:dyDescent="0.3">
      <c r="A14" s="5"/>
      <c r="B14" s="5" t="s">
        <v>24</v>
      </c>
      <c r="C14" s="5" t="s">
        <v>26</v>
      </c>
      <c r="D14" s="5"/>
      <c r="E14" s="5"/>
      <c r="F14" s="5"/>
      <c r="G14" s="5"/>
      <c r="H14" s="19"/>
      <c r="I14" s="19"/>
      <c r="J14" s="5"/>
      <c r="K14" s="19"/>
      <c r="L14" s="19"/>
      <c r="M14" s="19"/>
      <c r="N14" s="19"/>
      <c r="O14" s="19"/>
      <c r="P14" s="19"/>
      <c r="Q14" s="5"/>
      <c r="R14" s="19"/>
      <c r="S14" s="5"/>
      <c r="T14" s="5"/>
      <c r="U14" s="5"/>
    </row>
    <row r="15" spans="1:21" x14ac:dyDescent="0.3">
      <c r="A15" s="5"/>
      <c r="B15" s="5" t="s">
        <v>24</v>
      </c>
      <c r="C15" s="5" t="s">
        <v>28</v>
      </c>
      <c r="D15" s="5"/>
      <c r="E15" s="5"/>
      <c r="F15" s="5"/>
      <c r="G15" s="5"/>
      <c r="H15" s="19"/>
      <c r="I15" s="19"/>
      <c r="J15" s="5"/>
      <c r="K15" s="19"/>
      <c r="L15" s="19"/>
      <c r="M15" s="19"/>
      <c r="N15" s="19"/>
      <c r="O15" s="19"/>
      <c r="P15" s="19"/>
      <c r="Q15" s="5"/>
      <c r="R15" s="19"/>
      <c r="S15" s="5"/>
      <c r="T15" s="5"/>
      <c r="U15" s="5"/>
    </row>
    <row r="16" spans="1:21" x14ac:dyDescent="0.3">
      <c r="A16" s="5"/>
      <c r="B16" s="5" t="s">
        <v>0</v>
      </c>
      <c r="C16" s="5" t="s">
        <v>28</v>
      </c>
      <c r="D16" s="5"/>
      <c r="E16" s="5"/>
      <c r="F16" s="5"/>
      <c r="G16" s="5"/>
      <c r="H16" s="19"/>
      <c r="I16" s="19"/>
      <c r="J16" s="5"/>
      <c r="K16" s="19"/>
      <c r="L16" s="19"/>
      <c r="M16" s="19"/>
      <c r="N16" s="19"/>
      <c r="O16" s="19"/>
      <c r="P16" s="19"/>
      <c r="Q16" s="5"/>
      <c r="R16" s="19"/>
      <c r="S16" s="5"/>
      <c r="T16" s="5"/>
      <c r="U16" s="5"/>
    </row>
    <row r="17" spans="1:21" x14ac:dyDescent="0.3">
      <c r="A17" s="5"/>
      <c r="B17" s="5" t="s">
        <v>0</v>
      </c>
      <c r="C17" s="5" t="s">
        <v>30</v>
      </c>
      <c r="D17" s="5"/>
      <c r="E17" s="5"/>
      <c r="F17" s="5"/>
      <c r="G17" s="5"/>
      <c r="H17" s="19"/>
      <c r="I17" s="19"/>
      <c r="J17" s="5"/>
      <c r="K17" s="19"/>
      <c r="L17" s="19"/>
      <c r="M17" s="19"/>
      <c r="N17" s="19"/>
      <c r="O17" s="19"/>
      <c r="P17" s="19"/>
      <c r="Q17" s="5"/>
      <c r="R17" s="19"/>
      <c r="S17" s="5"/>
      <c r="T17" s="5"/>
      <c r="U17" s="5"/>
    </row>
    <row r="18" spans="1:21" x14ac:dyDescent="0.3">
      <c r="A18" s="5"/>
      <c r="B18" s="5" t="s">
        <v>0</v>
      </c>
      <c r="C18" s="5" t="s">
        <v>30</v>
      </c>
      <c r="D18" s="5"/>
      <c r="E18" s="5"/>
      <c r="F18" s="5"/>
      <c r="G18" s="5"/>
      <c r="H18" s="19"/>
      <c r="I18" s="19"/>
      <c r="J18" s="5"/>
      <c r="K18" s="19"/>
      <c r="L18" s="19"/>
      <c r="M18" s="19"/>
      <c r="N18" s="19"/>
      <c r="O18" s="19"/>
      <c r="P18" s="19"/>
      <c r="Q18" s="5"/>
      <c r="R18" s="19"/>
      <c r="S18" s="5"/>
      <c r="T18" s="5"/>
      <c r="U18" s="5"/>
    </row>
    <row r="19" spans="1:21" x14ac:dyDescent="0.3">
      <c r="A19" s="5"/>
      <c r="B19" s="5"/>
      <c r="C19" s="5"/>
      <c r="D19" s="5"/>
      <c r="E19" s="5"/>
      <c r="F19" s="5"/>
      <c r="G19" s="5"/>
      <c r="H19" s="19"/>
      <c r="I19" s="19"/>
      <c r="J19" s="5"/>
      <c r="K19" s="19"/>
      <c r="L19" s="19"/>
      <c r="M19" s="19"/>
      <c r="N19" s="19"/>
      <c r="O19" s="19"/>
      <c r="P19" s="19"/>
      <c r="Q19" s="5"/>
      <c r="R19" s="19"/>
      <c r="S19" s="5"/>
      <c r="T19" s="5"/>
      <c r="U19" s="5"/>
    </row>
    <row r="20" spans="1:21" x14ac:dyDescent="0.3">
      <c r="A20" s="5"/>
      <c r="B20" s="5"/>
      <c r="C20" s="5"/>
      <c r="D20" s="5"/>
      <c r="E20" s="5"/>
      <c r="F20" s="5"/>
      <c r="G20" s="5"/>
      <c r="H20" s="19"/>
      <c r="I20" s="19"/>
      <c r="J20" s="5"/>
      <c r="K20" s="19"/>
      <c r="L20" s="19"/>
      <c r="M20" s="19"/>
      <c r="N20" s="19"/>
      <c r="O20" s="19"/>
      <c r="P20" s="19"/>
      <c r="Q20" s="5"/>
      <c r="R20" s="19"/>
      <c r="S20" s="5"/>
      <c r="T20" s="5"/>
      <c r="U20" s="5"/>
    </row>
    <row r="21" spans="1:21" x14ac:dyDescent="0.3">
      <c r="A21" s="5"/>
      <c r="B21" s="5"/>
      <c r="C21" s="5"/>
      <c r="D21" s="5"/>
      <c r="E21" s="5"/>
      <c r="F21" s="5"/>
      <c r="G21" s="5"/>
      <c r="H21" s="19"/>
      <c r="I21" s="19"/>
      <c r="J21" s="5"/>
      <c r="K21" s="19"/>
      <c r="L21" s="19"/>
      <c r="M21" s="19"/>
      <c r="N21" s="19"/>
      <c r="O21" s="19"/>
      <c r="P21" s="19"/>
      <c r="Q21" s="5"/>
      <c r="R21" s="19"/>
      <c r="S21" s="5"/>
      <c r="T21" s="5"/>
      <c r="U21" s="5"/>
    </row>
    <row r="22" spans="1:21" x14ac:dyDescent="0.3">
      <c r="A22" s="5"/>
      <c r="B22" s="5"/>
      <c r="C22" s="5"/>
      <c r="D22" s="5"/>
      <c r="E22" s="5"/>
      <c r="F22" s="5"/>
      <c r="G22" s="5"/>
      <c r="H22" s="19"/>
      <c r="I22" s="19"/>
      <c r="J22" s="5"/>
      <c r="K22" s="19"/>
      <c r="L22" s="19"/>
      <c r="M22" s="19"/>
      <c r="N22" s="19"/>
      <c r="O22" s="19"/>
      <c r="P22" s="19"/>
      <c r="Q22" s="5"/>
      <c r="R22" s="19"/>
      <c r="S22" s="5"/>
      <c r="T22" s="5"/>
      <c r="U22" s="5"/>
    </row>
    <row r="23" spans="1:21" s="8" customFormat="1" x14ac:dyDescent="0.3">
      <c r="A23" s="6"/>
      <c r="B23" s="6"/>
      <c r="C23" s="6"/>
      <c r="D23" s="6"/>
      <c r="E23" s="6"/>
      <c r="F23" s="6"/>
      <c r="G23" s="6"/>
      <c r="H23" s="18"/>
      <c r="I23" s="18"/>
      <c r="J23" s="6"/>
      <c r="K23" s="18"/>
      <c r="L23" s="18"/>
      <c r="M23" s="18"/>
      <c r="N23" s="18"/>
      <c r="O23" s="18"/>
      <c r="P23" s="18"/>
      <c r="Q23" s="6"/>
      <c r="R23" s="18"/>
      <c r="S23" s="6"/>
      <c r="T23" s="20">
        <f>SUM(T7:T22)</f>
        <v>1299</v>
      </c>
      <c r="U23" s="6"/>
    </row>
    <row r="26" spans="1:21" x14ac:dyDescent="0.3">
      <c r="B26" s="9" t="s">
        <v>25</v>
      </c>
    </row>
    <row r="27" spans="1:21" x14ac:dyDescent="0.3">
      <c r="B27" s="10" t="s">
        <v>26</v>
      </c>
    </row>
    <row r="28" spans="1:21" x14ac:dyDescent="0.3">
      <c r="B28" s="11" t="s">
        <v>27</v>
      </c>
    </row>
    <row r="29" spans="1:21" x14ac:dyDescent="0.3">
      <c r="B29" s="12" t="s">
        <v>28</v>
      </c>
    </row>
    <row r="30" spans="1:21" x14ac:dyDescent="0.3">
      <c r="B30" s="13" t="s">
        <v>29</v>
      </c>
    </row>
    <row r="31" spans="1:21" x14ac:dyDescent="0.3">
      <c r="B31" s="14" t="s">
        <v>30</v>
      </c>
    </row>
  </sheetData>
  <conditionalFormatting sqref="T1:T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C1:C1048576" xr:uid="{96CBFD7A-CE25-48DA-86E6-AD1B8A257A57}">
      <formula1>$B$27:$B$31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stopIfTrue="1" operator="containsText" id="{51C04ECD-B9F0-4357-A15D-6BD0BA108311}">
            <xm:f>NOT(ISERROR(SEARCH($B$30,A4)))</xm:f>
            <xm:f>$B$30</xm:f>
            <x14:dxf>
              <fill>
                <patternFill>
                  <bgColor theme="2" tint="-0.499984740745262"/>
                </patternFill>
              </fill>
            </x14:dxf>
          </x14:cfRule>
          <x14:cfRule type="containsText" priority="9" stopIfTrue="1" operator="containsText" id="{4F8DC95F-35B9-42FF-AF76-EE134457FD2A}">
            <xm:f>NOT(ISERROR(SEARCH($B$31,A4)))</xm:f>
            <xm:f>$B$31</xm:f>
            <x14:dxf>
              <fill>
                <patternFill>
                  <bgColor rgb="FF7030A0"/>
                </patternFill>
              </fill>
            </x14:dxf>
          </x14:cfRule>
          <x14:cfRule type="containsText" priority="10" stopIfTrue="1" operator="containsText" id="{D96CA4F0-4170-4BFA-BDA8-F2BA6D9A1C1A}">
            <xm:f>NOT(ISERROR(SEARCH($B$29,A4)))</xm:f>
            <xm:f>$B$29</xm:f>
            <x14:dxf>
              <fill>
                <patternFill>
                  <bgColor theme="2" tint="-0.24994659260841701"/>
                </patternFill>
              </fill>
            </x14:dxf>
          </x14:cfRule>
          <x14:cfRule type="containsText" priority="11" stopIfTrue="1" operator="containsText" id="{01081AB3-F092-4406-876B-40824285FE51}">
            <xm:f>NOT(ISERROR(SEARCH($B$28,A4)))</xm:f>
            <xm:f>$B$28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2" stopIfTrue="1" operator="containsText" id="{729D5540-6AA3-4C7D-B4FD-3DE9363C25A8}">
            <xm:f>NOT(ISERROR(SEARCH($B$27,A4)))</xm:f>
            <xm:f>$B$27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" stopIfTrue="1" operator="containsText" id="{29DD9261-EA0D-430E-9ECB-307D950A07A7}">
            <xm:f>NOT(ISERROR(SEARCH($B$26,A4)))</xm:f>
            <xm:f>$B$26</xm:f>
            <x14:dxf>
              <fill>
                <patternFill>
                  <bgColor theme="5"/>
                </patternFill>
              </fill>
            </x14:dxf>
          </x14:cfRule>
          <xm:sqref>A4</xm:sqref>
        </x14:conditionalFormatting>
        <x14:conditionalFormatting xmlns:xm="http://schemas.microsoft.com/office/excel/2006/main">
          <x14:cfRule type="containsText" priority="14" stopIfTrue="1" operator="containsText" id="{94E8D744-4184-42E2-8DC5-8C4F230625A1}">
            <xm:f>NOT(ISERROR(SEARCH($B$31,C1)))</xm:f>
            <xm:f>$B$31</xm:f>
            <x14:dxf>
              <fill>
                <patternFill>
                  <bgColor rgb="FF7030A0"/>
                </patternFill>
              </fill>
            </x14:dxf>
          </x14:cfRule>
          <x14:cfRule type="containsText" priority="15" stopIfTrue="1" operator="containsText" id="{D0CBBB5F-3632-4020-91EF-EF24E074CE5F}">
            <xm:f>NOT(ISERROR(SEARCH($B$30,C1)))</xm:f>
            <xm:f>$B$30</xm:f>
            <x14:dxf>
              <fill>
                <patternFill>
                  <bgColor theme="1" tint="0.499984740745262"/>
                </patternFill>
              </fill>
            </x14:dxf>
          </x14:cfRule>
          <x14:cfRule type="containsText" priority="16" stopIfTrue="1" operator="containsText" id="{C6FA428F-E90B-4004-86A9-5AC7184DEF52}">
            <xm:f>NOT(ISERROR(SEARCH($B$29,C1)))</xm:f>
            <xm:f>$B$29</xm:f>
            <x14:dxf>
              <fill>
                <patternFill>
                  <bgColor theme="2" tint="-0.24994659260841701"/>
                </patternFill>
              </fill>
            </x14:dxf>
          </x14:cfRule>
          <x14:cfRule type="containsText" priority="17" stopIfTrue="1" operator="containsText" id="{391F671E-78D5-4DA5-B022-53CD6313100B}">
            <xm:f>NOT(ISERROR(SEARCH($B$28,C1)))</xm:f>
            <xm:f>$B$28</xm:f>
            <x14:dxf>
              <fill>
                <patternFill>
                  <bgColor theme="6" tint="0.59996337778862885"/>
                </patternFill>
              </fill>
            </x14:dxf>
          </x14:cfRule>
          <x14:cfRule type="containsText" priority="18" stopIfTrue="1" operator="containsText" id="{0D73D26D-E06D-466A-A5AA-2929CF1F6B19}">
            <xm:f>NOT(ISERROR(SEARCH($B$27,C1)))</xm:f>
            <xm:f>$B$27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9" stopIfTrue="1" operator="containsText" id="{F6FB1E4D-E9C8-4A0C-AC4E-4F62014DF75A}">
            <xm:f>NOT(ISERROR(SEARCH($B$26,C1)))</xm:f>
            <xm:f>$B$26</xm:f>
            <x14:dxf>
              <fill>
                <patternFill>
                  <bgColor theme="5" tint="0.39994506668294322"/>
                </patternFill>
              </fill>
            </x14:dxf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tehniyat.patel2101@outlook.com</dc:creator>
  <cp:lastModifiedBy>tehniyat.patel2101@outlook.com</cp:lastModifiedBy>
  <dcterms:created xsi:type="dcterms:W3CDTF">2026-06-28T09:47:04Z</dcterms:created>
  <dcterms:modified xsi:type="dcterms:W3CDTF">2026-07-31T10:18:32Z</dcterms:modified>
</cp:coreProperties>
</file>